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Nas-ascanelli\calidad\DPTO CALIDAD\VENTAS\04 Formularios\"/>
    </mc:Choice>
  </mc:AlternateContent>
  <xr:revisionPtr revIDLastSave="0" documentId="8_{4C3ED1B5-464D-4FAC-A239-C80B4D2D2CB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edido de Venta" sheetId="1" r:id="rId1"/>
    <sheet name="Condiciones de Comercialización" sheetId="2" r:id="rId2"/>
  </sheets>
  <definedNames>
    <definedName name="_xlnm.Print_Area" localSheetId="1">'Condiciones de Comercialización'!$A$1:$H$35</definedName>
    <definedName name="_xlnm.Print_Area" localSheetId="0">'Pedido de Venta'!$A$1:$H$35</definedName>
    <definedName name="Area_Mixerr" localSheetId="0">'Pedido de Venta'!$A$1:$I$106</definedName>
    <definedName name="Print_Area" localSheetId="0">'Pedido de Venta'!$A$1:$H$36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4" i="2" s="1"/>
  <c r="C15" i="2" s="1"/>
  <c r="C21" i="2" s="1"/>
  <c r="C22" i="2" s="1"/>
</calcChain>
</file>

<file path=xl/sharedStrings.xml><?xml version="1.0" encoding="utf-8"?>
<sst xmlns="http://schemas.openxmlformats.org/spreadsheetml/2006/main" count="113" uniqueCount="100">
  <si>
    <t>Solicitante</t>
  </si>
  <si>
    <t>Viajante</t>
  </si>
  <si>
    <t>Fecha</t>
  </si>
  <si>
    <t>DATOS DEL CLIENTE A FACTURAR</t>
  </si>
  <si>
    <t>Nombre y Apellido</t>
  </si>
  <si>
    <t>Empresa</t>
  </si>
  <si>
    <t>Cargo</t>
  </si>
  <si>
    <t>Nº CUIT</t>
  </si>
  <si>
    <t>Domicilio</t>
  </si>
  <si>
    <t>Localidad</t>
  </si>
  <si>
    <t>Provincia</t>
  </si>
  <si>
    <t>C.P.</t>
  </si>
  <si>
    <t>Tel. Fijo</t>
  </si>
  <si>
    <t>Celular</t>
  </si>
  <si>
    <t>E-mail</t>
  </si>
  <si>
    <t>CONFIGURACIÓN</t>
  </si>
  <si>
    <t>Modelo</t>
  </si>
  <si>
    <t>Cód. Implem.</t>
  </si>
  <si>
    <t>Balanza</t>
  </si>
  <si>
    <t>SI</t>
  </si>
  <si>
    <t>NO</t>
  </si>
  <si>
    <t>MARCA</t>
  </si>
  <si>
    <t>TELAS</t>
  </si>
  <si>
    <t>MEDIDAS</t>
  </si>
  <si>
    <t>LLANTAS</t>
  </si>
  <si>
    <t>Cantidad de salidas hidráulicas</t>
  </si>
  <si>
    <t>Zona donde se va a utilizar el implemento</t>
  </si>
  <si>
    <t>Nº de Pedido:</t>
  </si>
  <si>
    <t>CONDICIONES DE COMERCIALIZACIÓN</t>
  </si>
  <si>
    <t>$</t>
  </si>
  <si>
    <t>Precio de Lista</t>
  </si>
  <si>
    <t>SUB TOTAL</t>
  </si>
  <si>
    <t>IVA 10,5%</t>
  </si>
  <si>
    <t>Normal</t>
  </si>
  <si>
    <t>MARCA Y MODELO</t>
  </si>
  <si>
    <t>PLANILLA DE PEDIDO: MIXER VERTICAL</t>
  </si>
  <si>
    <t>Cubiertas</t>
  </si>
  <si>
    <t>CON CUBIERTAS</t>
  </si>
  <si>
    <t>SIN CUBIERTAS</t>
  </si>
  <si>
    <t>MIXER</t>
  </si>
  <si>
    <t>500/45 x 22.5</t>
  </si>
  <si>
    <t>RS 2600 - 24m3</t>
  </si>
  <si>
    <t>RS 1600 - 14m3</t>
  </si>
  <si>
    <t>Ticketera</t>
  </si>
  <si>
    <t>Tablet</t>
  </si>
  <si>
    <t>Visor Remoto</t>
  </si>
  <si>
    <t>TOTAL MIXER</t>
  </si>
  <si>
    <t>RS 1600</t>
  </si>
  <si>
    <t>Cambiable x600/40 x 22,5</t>
  </si>
  <si>
    <t>Mixer Doble</t>
  </si>
  <si>
    <t>Recubrimiento de sinfin c/chapa cementada 10 cm del ala.</t>
  </si>
  <si>
    <t>PLANILLA DE CONDICIONES DE COMERCIALIZACIÓN MIXER VERTICAL</t>
  </si>
  <si>
    <t>N° de Pedido:</t>
  </si>
  <si>
    <t>Plan Stock</t>
  </si>
  <si>
    <t>Consignación</t>
  </si>
  <si>
    <r>
      <rPr>
        <b/>
        <sz val="12"/>
        <color theme="1"/>
        <rFont val="Calibri"/>
        <family val="2"/>
        <scheme val="minor"/>
      </rPr>
      <t>Duales:</t>
    </r>
    <r>
      <rPr>
        <sz val="12"/>
        <color theme="1"/>
        <rFont val="Calibri"/>
        <family val="2"/>
        <scheme val="minor"/>
      </rPr>
      <t xml:space="preserve"> Mixer simple, multiplicar x 4 - Doble, multiplicar x 8.</t>
    </r>
  </si>
  <si>
    <r>
      <t>Entrega Usado</t>
    </r>
    <r>
      <rPr>
        <sz val="12"/>
        <color rgb="FF3F3F3F"/>
        <rFont val="Calibri"/>
        <family val="2"/>
        <scheme val="minor"/>
      </rPr>
      <t xml:space="preserve"> (solo cuando es tomado por Ascanelli SA)</t>
    </r>
  </si>
  <si>
    <t>APROBADO POR:</t>
  </si>
  <si>
    <t>Río Tercero, Córdoba, Argentina</t>
  </si>
  <si>
    <t>03571 - 15591403  03571 - 421971 / 421973 / 423691</t>
  </si>
  <si>
    <t>Encamizado para cuba</t>
  </si>
  <si>
    <t>Marca, modelo y HP del tractor</t>
  </si>
  <si>
    <r>
      <rPr>
        <b/>
        <sz val="12"/>
        <color rgb="FF3F3F3F"/>
        <rFont val="Calibri"/>
        <family val="2"/>
        <scheme val="minor"/>
      </rPr>
      <t>RS 2600</t>
    </r>
    <r>
      <rPr>
        <b/>
        <sz val="10"/>
        <color rgb="FF3F3F3F"/>
        <rFont val="Calibri"/>
        <family val="2"/>
        <scheme val="minor"/>
      </rPr>
      <t xml:space="preserve"> </t>
    </r>
    <r>
      <rPr>
        <b/>
        <sz val="9"/>
        <color rgb="FF3F3F3F"/>
        <rFont val="Calibri"/>
        <family val="2"/>
        <scheme val="minor"/>
      </rPr>
      <t>(2 SINFINES C/BALANCINES AUTODIRECCIONABLES 4 RUEDAS)</t>
    </r>
  </si>
  <si>
    <r>
      <rPr>
        <b/>
        <sz val="12"/>
        <color rgb="FF3F3F3F"/>
        <rFont val="Calibri"/>
        <family val="2"/>
        <scheme val="minor"/>
      </rPr>
      <t xml:space="preserve">RS 1600 </t>
    </r>
    <r>
      <rPr>
        <b/>
        <sz val="9"/>
        <color rgb="FF3F3F3F"/>
        <rFont val="Calibri"/>
        <family val="2"/>
        <scheme val="minor"/>
      </rPr>
      <t>(1 SINFÍN C/ CAJA REDUCUCTORA)</t>
    </r>
  </si>
  <si>
    <t>Llantas -  Cubiertas</t>
  </si>
  <si>
    <t>AÑO</t>
  </si>
  <si>
    <t>Firma del Cliente</t>
  </si>
  <si>
    <t>Motivo:</t>
  </si>
  <si>
    <t>Fecha de Entrega Pactada:</t>
  </si>
  <si>
    <t>Tipo/s de Implemento/s:</t>
  </si>
  <si>
    <t>TOTAL GENERAL</t>
  </si>
  <si>
    <t>FORMA DE PAGO: (detallar)</t>
  </si>
  <si>
    <t>Cubiertas (IVA Incluído)</t>
  </si>
  <si>
    <t>Color</t>
  </si>
  <si>
    <t>Material de Encamizado</t>
  </si>
  <si>
    <t>OBSERVACIONES:</t>
  </si>
  <si>
    <t>FORMA DE COMISIONAR:</t>
  </si>
  <si>
    <t>REFERENCIAS COMERCIALES</t>
  </si>
  <si>
    <t>Descuento (            %)</t>
  </si>
  <si>
    <t xml:space="preserve">Mixer Simple </t>
  </si>
  <si>
    <t xml:space="preserve">A FACTURAR: </t>
  </si>
  <si>
    <t>16 x 22,5</t>
  </si>
  <si>
    <r>
      <rPr>
        <b/>
        <sz val="12"/>
        <color theme="1"/>
        <rFont val="Calibri"/>
        <family val="2"/>
        <scheme val="minor"/>
      </rPr>
      <t>Conj. Duales</t>
    </r>
    <r>
      <rPr>
        <sz val="12"/>
        <color theme="1"/>
        <rFont val="Calibri"/>
        <family val="2"/>
        <scheme val="minor"/>
      </rPr>
      <t>: Llant.825x22,5 Cubiertas 275/80/R22,5 camión.</t>
    </r>
  </si>
  <si>
    <t>Altura de Encamisado:    0,8m                             1,2m</t>
  </si>
  <si>
    <t>Observaciones:</t>
  </si>
  <si>
    <t>F-VE-03                                                                           Rev. 09                                                                                          03/07/2020</t>
  </si>
  <si>
    <t>M000000016</t>
  </si>
  <si>
    <t>AMARILLO ASCANELLI</t>
  </si>
  <si>
    <t>MAGRIS</t>
  </si>
  <si>
    <t>MODELO: MX8M</t>
  </si>
  <si>
    <t>|</t>
  </si>
  <si>
    <t>Lista de Precios N°:</t>
  </si>
  <si>
    <t xml:space="preserve">Cotización del Dólar: </t>
  </si>
  <si>
    <t>Otros 1 (IVA Incluído)</t>
  </si>
  <si>
    <t>Otros 2 (IVA Incluído)</t>
  </si>
  <si>
    <t>Otros 3 (IVA Incluído)</t>
  </si>
  <si>
    <t>Otros 4 (IVA Incluído)</t>
  </si>
  <si>
    <t>Otros 5 (IVA Incluído)</t>
  </si>
  <si>
    <t>Balanza (Sin IVA)</t>
  </si>
  <si>
    <t>F-VE-03                                                                           Rev. 09                                                                                          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</si>
</sst>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F3F3F"/>
      <name val="Calibri"/>
      <family val="2"/>
      <scheme val="minor"/>
    </font>
    <font>
      <sz val="8"/>
      <color rgb="FF000000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3F3F3F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9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indexed="64"/>
      </bottom>
      <diagonal/>
    </border>
    <border>
      <left/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rgb="FF3F3F3F"/>
      </top>
      <bottom/>
      <diagonal/>
    </border>
    <border>
      <left/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/>
      <top/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rgb="FF3F3F3F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/>
      <bottom/>
      <diagonal/>
    </border>
    <border>
      <left/>
      <right style="medium">
        <color indexed="64"/>
      </right>
      <top style="thin">
        <color rgb="FF3F3F3F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3F3F3F"/>
      </bottom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50">
    <xf numFmtId="0" fontId="0" fillId="0" borderId="0" xfId="0"/>
    <xf numFmtId="0" fontId="11" fillId="2" borderId="8" xfId="1" applyFont="1" applyBorder="1" applyAlignment="1" applyProtection="1">
      <alignment horizontal="center" vertical="center"/>
      <protection locked="0"/>
    </xf>
    <xf numFmtId="0" fontId="11" fillId="2" borderId="8" xfId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0" fillId="2" borderId="14" xfId="1" applyFont="1" applyBorder="1" applyAlignment="1">
      <alignment horizontal="left" vertical="center"/>
    </xf>
    <xf numFmtId="0" fontId="11" fillId="2" borderId="51" xfId="1" applyFont="1" applyBorder="1" applyAlignment="1">
      <alignment horizontal="center" vertical="center"/>
    </xf>
    <xf numFmtId="0" fontId="11" fillId="2" borderId="1" xfId="1" applyFont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1" fillId="5" borderId="53" xfId="1" applyFont="1" applyFill="1" applyBorder="1" applyAlignment="1">
      <alignment horizontal="center" vertical="center" wrapText="1"/>
    </xf>
    <xf numFmtId="0" fontId="11" fillId="5" borderId="51" xfId="1" applyFont="1" applyFill="1" applyBorder="1" applyAlignment="1">
      <alignment horizontal="center" vertical="center"/>
    </xf>
    <xf numFmtId="0" fontId="10" fillId="2" borderId="51" xfId="1" applyFont="1" applyBorder="1" applyAlignment="1">
      <alignment horizontal="center" vertical="center"/>
    </xf>
    <xf numFmtId="0" fontId="10" fillId="2" borderId="1" xfId="1" applyFont="1" applyAlignment="1">
      <alignment horizontal="center" vertical="center"/>
    </xf>
    <xf numFmtId="0" fontId="10" fillId="2" borderId="68" xfId="1" applyFont="1" applyBorder="1" applyAlignment="1">
      <alignment horizontal="left" vertical="center"/>
    </xf>
    <xf numFmtId="0" fontId="0" fillId="0" borderId="50" xfId="0" applyBorder="1"/>
    <xf numFmtId="0" fontId="0" fillId="0" borderId="41" xfId="0" applyBorder="1"/>
    <xf numFmtId="0" fontId="0" fillId="0" borderId="48" xfId="0" applyBorder="1"/>
    <xf numFmtId="0" fontId="0" fillId="0" borderId="42" xfId="0" applyBorder="1"/>
    <xf numFmtId="0" fontId="0" fillId="0" borderId="49" xfId="0" applyBorder="1"/>
    <xf numFmtId="0" fontId="10" fillId="2" borderId="13" xfId="1" applyFont="1" applyBorder="1" applyAlignment="1">
      <alignment vertical="center"/>
    </xf>
    <xf numFmtId="0" fontId="10" fillId="2" borderId="74" xfId="1" applyFont="1" applyBorder="1" applyAlignment="1">
      <alignment horizontal="left" vertical="center"/>
    </xf>
    <xf numFmtId="0" fontId="10" fillId="2" borderId="0" xfId="1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0" fillId="0" borderId="0" xfId="0" applyAlignment="1">
      <alignment horizontal="center"/>
    </xf>
    <xf numFmtId="14" fontId="8" fillId="0" borderId="5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52" xfId="0" applyNumberFormat="1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0" fillId="2" borderId="87" xfId="1" applyFont="1" applyBorder="1" applyAlignment="1">
      <alignment horizontal="left" vertical="center"/>
    </xf>
    <xf numFmtId="0" fontId="8" fillId="0" borderId="54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/>
    <xf numFmtId="0" fontId="5" fillId="0" borderId="0" xfId="0" applyFont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1" fillId="0" borderId="46" xfId="1" applyFont="1" applyFill="1" applyBorder="1" applyAlignment="1">
      <alignment horizontal="center"/>
    </xf>
    <xf numFmtId="0" fontId="11" fillId="0" borderId="47" xfId="1" applyFont="1" applyFill="1" applyBorder="1" applyAlignment="1">
      <alignment horizontal="center"/>
    </xf>
    <xf numFmtId="0" fontId="8" fillId="0" borderId="86" xfId="0" applyFont="1" applyBorder="1" applyAlignment="1">
      <alignment vertical="center"/>
    </xf>
    <xf numFmtId="0" fontId="12" fillId="6" borderId="90" xfId="0" applyFont="1" applyFill="1" applyBorder="1" applyAlignment="1">
      <alignment horizontal="center" vertical="center"/>
    </xf>
    <xf numFmtId="0" fontId="20" fillId="0" borderId="61" xfId="0" applyFont="1" applyBorder="1" applyAlignment="1">
      <alignment vertical="center"/>
    </xf>
    <xf numFmtId="0" fontId="12" fillId="0" borderId="91" xfId="0" applyFont="1" applyBorder="1" applyAlignment="1">
      <alignment vertical="center"/>
    </xf>
    <xf numFmtId="0" fontId="10" fillId="2" borderId="62" xfId="1" applyFont="1" applyBorder="1" applyAlignment="1">
      <alignment horizontal="center" vertical="center"/>
    </xf>
    <xf numFmtId="0" fontId="11" fillId="5" borderId="57" xfId="1" applyFont="1" applyFill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/>
    </xf>
    <xf numFmtId="0" fontId="11" fillId="5" borderId="57" xfId="1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0" fillId="0" borderId="60" xfId="0" applyBorder="1"/>
    <xf numFmtId="0" fontId="3" fillId="7" borderId="58" xfId="1" applyFont="1" applyFill="1" applyBorder="1" applyAlignment="1">
      <alignment horizontal="center" vertical="center" wrapText="1"/>
    </xf>
    <xf numFmtId="0" fontId="0" fillId="0" borderId="89" xfId="0" applyBorder="1" applyAlignment="1">
      <alignment horizontal="center"/>
    </xf>
    <xf numFmtId="0" fontId="20" fillId="0" borderId="93" xfId="0" applyFont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 vertical="center"/>
    </xf>
    <xf numFmtId="0" fontId="11" fillId="2" borderId="42" xfId="1" applyFont="1" applyBorder="1" applyAlignment="1">
      <alignment horizontal="center"/>
    </xf>
    <xf numFmtId="0" fontId="11" fillId="2" borderId="49" xfId="1" applyFont="1" applyBorder="1" applyAlignment="1">
      <alignment horizontal="center"/>
    </xf>
    <xf numFmtId="0" fontId="10" fillId="2" borderId="38" xfId="1" applyFont="1" applyBorder="1" applyAlignment="1">
      <alignment horizontal="center" vertical="center"/>
    </xf>
    <xf numFmtId="0" fontId="11" fillId="5" borderId="59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28" xfId="1" applyFont="1" applyFill="1" applyBorder="1" applyAlignment="1">
      <alignment horizontal="center" vertical="center"/>
    </xf>
    <xf numFmtId="0" fontId="11" fillId="5" borderId="27" xfId="1" applyFont="1" applyFill="1" applyBorder="1" applyAlignment="1">
      <alignment horizontal="center" vertical="center"/>
    </xf>
    <xf numFmtId="0" fontId="11" fillId="5" borderId="29" xfId="1" applyFont="1" applyFill="1" applyBorder="1" applyAlignment="1">
      <alignment horizontal="center" vertical="center"/>
    </xf>
    <xf numFmtId="0" fontId="11" fillId="5" borderId="66" xfId="1" applyFont="1" applyFill="1" applyBorder="1" applyAlignment="1">
      <alignment horizontal="center" vertical="center"/>
    </xf>
    <xf numFmtId="0" fontId="10" fillId="2" borderId="62" xfId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41" xfId="0" applyFont="1" applyBorder="1" applyAlignment="1">
      <alignment horizontal="left" vertical="top"/>
    </xf>
    <xf numFmtId="0" fontId="12" fillId="0" borderId="48" xfId="0" applyFont="1" applyBorder="1" applyAlignment="1">
      <alignment horizontal="left" vertical="top"/>
    </xf>
    <xf numFmtId="0" fontId="12" fillId="0" borderId="42" xfId="0" applyFont="1" applyBorder="1" applyAlignment="1">
      <alignment horizontal="left" vertical="top"/>
    </xf>
    <xf numFmtId="0" fontId="12" fillId="0" borderId="49" xfId="0" applyFont="1" applyBorder="1" applyAlignment="1">
      <alignment horizontal="left" vertical="top"/>
    </xf>
    <xf numFmtId="0" fontId="10" fillId="2" borderId="37" xfId="1" applyFont="1" applyBorder="1" applyAlignment="1">
      <alignment horizontal="left" vertical="center"/>
    </xf>
    <xf numFmtId="0" fontId="10" fillId="2" borderId="36" xfId="1" applyFont="1" applyBorder="1" applyAlignment="1">
      <alignment horizontal="left" vertical="center"/>
    </xf>
    <xf numFmtId="0" fontId="10" fillId="5" borderId="53" xfId="1" applyFont="1" applyFill="1" applyBorder="1" applyAlignment="1">
      <alignment horizontal="center" vertical="center" wrapText="1"/>
    </xf>
    <xf numFmtId="0" fontId="10" fillId="5" borderId="23" xfId="1" applyFont="1" applyFill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1" fillId="5" borderId="57" xfId="1" applyFont="1" applyFill="1" applyBorder="1" applyAlignment="1">
      <alignment horizontal="center" vertical="center" wrapText="1"/>
    </xf>
    <xf numFmtId="0" fontId="11" fillId="5" borderId="63" xfId="1" applyFont="1" applyFill="1" applyBorder="1" applyAlignment="1">
      <alignment horizontal="center" vertical="center" wrapText="1"/>
    </xf>
    <xf numFmtId="0" fontId="11" fillId="5" borderId="65" xfId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10" fillId="2" borderId="21" xfId="1" applyFont="1" applyBorder="1" applyAlignment="1">
      <alignment horizontal="left" vertical="center"/>
    </xf>
    <xf numFmtId="0" fontId="10" fillId="2" borderId="22" xfId="1" applyFont="1" applyBorder="1" applyAlignment="1">
      <alignment horizontal="left" vertical="center"/>
    </xf>
    <xf numFmtId="0" fontId="10" fillId="2" borderId="67" xfId="1" applyFont="1" applyBorder="1" applyAlignment="1">
      <alignment horizontal="left" vertical="center"/>
    </xf>
    <xf numFmtId="0" fontId="11" fillId="2" borderId="88" xfId="1" applyFont="1" applyBorder="1" applyAlignment="1">
      <alignment horizontal="center" vertical="center" wrapText="1"/>
    </xf>
    <xf numFmtId="0" fontId="11" fillId="2" borderId="38" xfId="1" applyFont="1" applyBorder="1" applyAlignment="1">
      <alignment horizontal="center" vertical="center" wrapText="1"/>
    </xf>
    <xf numFmtId="0" fontId="11" fillId="2" borderId="62" xfId="1" applyFont="1" applyBorder="1" applyAlignment="1">
      <alignment horizontal="center" vertical="center" wrapText="1"/>
    </xf>
    <xf numFmtId="0" fontId="10" fillId="5" borderId="57" xfId="1" applyFont="1" applyFill="1" applyBorder="1" applyAlignment="1">
      <alignment horizontal="center" vertical="center" wrapText="1"/>
    </xf>
    <xf numFmtId="0" fontId="10" fillId="5" borderId="36" xfId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2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4" borderId="5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1" fillId="7" borderId="27" xfId="1" applyFont="1" applyFill="1" applyBorder="1" applyAlignment="1">
      <alignment horizontal="center" vertical="center"/>
    </xf>
    <xf numFmtId="0" fontId="11" fillId="7" borderId="15" xfId="1" applyFont="1" applyFill="1" applyBorder="1" applyAlignment="1">
      <alignment horizontal="center" vertical="center"/>
    </xf>
    <xf numFmtId="0" fontId="11" fillId="7" borderId="26" xfId="1" applyFont="1" applyFill="1" applyBorder="1" applyAlignment="1">
      <alignment horizontal="center" vertical="center"/>
    </xf>
    <xf numFmtId="0" fontId="3" fillId="7" borderId="15" xfId="1" applyFont="1" applyFill="1" applyBorder="1" applyAlignment="1">
      <alignment horizontal="center" vertical="center" wrapText="1"/>
    </xf>
    <xf numFmtId="0" fontId="3" fillId="7" borderId="28" xfId="1" applyFont="1" applyFill="1" applyBorder="1" applyAlignment="1">
      <alignment horizontal="center" vertical="center" wrapText="1"/>
    </xf>
    <xf numFmtId="0" fontId="17" fillId="4" borderId="50" xfId="2" applyFont="1" applyFill="1" applyBorder="1" applyAlignment="1">
      <alignment horizontal="center" vertical="center"/>
    </xf>
    <xf numFmtId="0" fontId="18" fillId="4" borderId="0" xfId="2" applyFont="1" applyFill="1" applyBorder="1" applyAlignment="1">
      <alignment horizontal="center" vertical="center"/>
    </xf>
    <xf numFmtId="0" fontId="18" fillId="4" borderId="41" xfId="2" applyFont="1" applyFill="1" applyBorder="1" applyAlignment="1">
      <alignment horizontal="center" vertical="center"/>
    </xf>
    <xf numFmtId="0" fontId="18" fillId="4" borderId="50" xfId="2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9" xfId="0" applyBorder="1" applyAlignment="1">
      <alignment horizontal="center"/>
    </xf>
    <xf numFmtId="14" fontId="0" fillId="0" borderId="43" xfId="0" applyNumberFormat="1" applyBorder="1" applyAlignment="1" applyProtection="1">
      <alignment horizontal="center" vertical="center" wrapText="1"/>
      <protection locked="0"/>
    </xf>
    <xf numFmtId="14" fontId="0" fillId="0" borderId="44" xfId="0" applyNumberFormat="1" applyBorder="1" applyAlignment="1" applyProtection="1">
      <alignment horizontal="center" vertical="center" wrapText="1"/>
      <protection locked="0"/>
    </xf>
    <xf numFmtId="0" fontId="8" fillId="0" borderId="48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1" fillId="5" borderId="57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2" borderId="53" xfId="1" applyFont="1" applyBorder="1" applyAlignment="1">
      <alignment horizontal="center" vertical="center"/>
    </xf>
    <xf numFmtId="0" fontId="11" fillId="2" borderId="23" xfId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84" xfId="1" applyFont="1" applyFill="1" applyBorder="1" applyAlignment="1">
      <alignment horizontal="left" vertical="center"/>
    </xf>
    <xf numFmtId="0" fontId="10" fillId="0" borderId="85" xfId="1" applyFont="1" applyFill="1" applyBorder="1" applyAlignment="1">
      <alignment horizontal="left" vertical="center"/>
    </xf>
    <xf numFmtId="0" fontId="10" fillId="0" borderId="76" xfId="1" applyFont="1" applyFill="1" applyBorder="1" applyAlignment="1">
      <alignment horizontal="left" vertical="center"/>
    </xf>
    <xf numFmtId="0" fontId="10" fillId="0" borderId="77" xfId="1" applyFont="1" applyFill="1" applyBorder="1" applyAlignment="1">
      <alignment horizontal="left" vertical="center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 wrapText="1"/>
    </xf>
    <xf numFmtId="14" fontId="0" fillId="0" borderId="44" xfId="0" applyNumberForma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15" fillId="4" borderId="50" xfId="2" applyFont="1" applyFill="1" applyBorder="1" applyAlignment="1">
      <alignment horizontal="center" vertical="center"/>
    </xf>
    <xf numFmtId="0" fontId="16" fillId="4" borderId="0" xfId="2" applyFont="1" applyFill="1" applyBorder="1" applyAlignment="1">
      <alignment horizontal="center" vertical="center"/>
    </xf>
    <xf numFmtId="0" fontId="16" fillId="4" borderId="41" xfId="2" applyFont="1" applyFill="1" applyBorder="1" applyAlignment="1">
      <alignment horizontal="center" vertical="center"/>
    </xf>
    <xf numFmtId="0" fontId="16" fillId="4" borderId="50" xfId="2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0" fillId="2" borderId="53" xfId="1" applyFont="1" applyBorder="1" applyAlignment="1">
      <alignment horizontal="center" vertical="center"/>
    </xf>
    <xf numFmtId="0" fontId="10" fillId="2" borderId="23" xfId="1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0" fillId="2" borderId="32" xfId="1" applyFont="1" applyBorder="1" applyAlignment="1">
      <alignment horizontal="left" vertical="center"/>
    </xf>
    <xf numFmtId="0" fontId="10" fillId="2" borderId="30" xfId="1" applyFont="1" applyBorder="1" applyAlignment="1">
      <alignment horizontal="left" vertical="center"/>
    </xf>
    <xf numFmtId="0" fontId="12" fillId="0" borderId="9" xfId="0" applyFont="1" applyBorder="1"/>
    <xf numFmtId="0" fontId="12" fillId="0" borderId="2" xfId="0" applyFont="1" applyBorder="1"/>
    <xf numFmtId="0" fontId="12" fillId="0" borderId="55" xfId="0" applyFont="1" applyBorder="1"/>
    <xf numFmtId="164" fontId="12" fillId="0" borderId="32" xfId="0" applyNumberFormat="1" applyFont="1" applyBorder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/>
    </xf>
    <xf numFmtId="0" fontId="10" fillId="2" borderId="78" xfId="1" applyFont="1" applyBorder="1" applyAlignment="1">
      <alignment horizontal="center" vertical="center"/>
    </xf>
    <xf numFmtId="0" fontId="10" fillId="2" borderId="79" xfId="1" applyFont="1" applyBorder="1" applyAlignment="1">
      <alignment horizontal="center" vertical="center"/>
    </xf>
    <xf numFmtId="164" fontId="11" fillId="2" borderId="78" xfId="1" applyNumberFormat="1" applyFont="1" applyBorder="1" applyAlignment="1">
      <alignment horizontal="center" vertical="center"/>
    </xf>
    <xf numFmtId="0" fontId="11" fillId="2" borderId="80" xfId="1" applyFont="1" applyBorder="1" applyAlignment="1">
      <alignment horizontal="center" vertical="center"/>
    </xf>
    <xf numFmtId="0" fontId="1" fillId="0" borderId="78" xfId="1" applyFill="1" applyBorder="1" applyAlignment="1">
      <alignment horizontal="center" vertical="center"/>
    </xf>
    <xf numFmtId="0" fontId="1" fillId="0" borderId="80" xfId="1" applyFill="1" applyBorder="1" applyAlignment="1">
      <alignment horizontal="center" vertical="center"/>
    </xf>
    <xf numFmtId="0" fontId="1" fillId="0" borderId="81" xfId="1" applyFill="1" applyBorder="1" applyAlignment="1">
      <alignment horizontal="left" vertical="center"/>
    </xf>
    <xf numFmtId="0" fontId="1" fillId="0" borderId="82" xfId="1" applyFill="1" applyBorder="1" applyAlignment="1">
      <alignment horizontal="left" vertical="center"/>
    </xf>
    <xf numFmtId="0" fontId="1" fillId="0" borderId="83" xfId="1" applyFill="1" applyBorder="1" applyAlignment="1">
      <alignment horizontal="lef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8" fillId="0" borderId="6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2" fillId="0" borderId="34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88" xfId="0" applyBorder="1" applyAlignment="1">
      <alignment horizontal="center"/>
    </xf>
    <xf numFmtId="0" fontId="20" fillId="0" borderId="88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/>
    </xf>
    <xf numFmtId="0" fontId="5" fillId="0" borderId="88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8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1" fillId="2" borderId="0" xfId="1" applyFont="1" applyBorder="1" applyAlignment="1">
      <alignment horizontal="center"/>
    </xf>
    <xf numFmtId="0" fontId="11" fillId="2" borderId="41" xfId="1" applyFont="1" applyBorder="1" applyAlignment="1">
      <alignment horizontal="center"/>
    </xf>
    <xf numFmtId="164" fontId="11" fillId="2" borderId="21" xfId="1" applyNumberFormat="1" applyFont="1" applyBorder="1" applyAlignment="1">
      <alignment horizontal="center" vertical="center"/>
    </xf>
    <xf numFmtId="164" fontId="11" fillId="2" borderId="31" xfId="1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89" xfId="0" applyFont="1" applyBorder="1" applyAlignment="1">
      <alignment horizontal="left" vertical="center"/>
    </xf>
    <xf numFmtId="0" fontId="8" fillId="0" borderId="53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1" fillId="2" borderId="39" xfId="1" applyNumberFormat="1" applyFont="1" applyBorder="1" applyAlignment="1">
      <alignment horizontal="center" vertical="center"/>
    </xf>
    <xf numFmtId="164" fontId="11" fillId="2" borderId="40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164" fontId="12" fillId="0" borderId="24" xfId="0" applyNumberFormat="1" applyFont="1" applyBorder="1" applyAlignment="1">
      <alignment horizontal="center" vertical="center"/>
    </xf>
    <xf numFmtId="164" fontId="12" fillId="0" borderId="3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14" fontId="12" fillId="0" borderId="75" xfId="0" applyNumberFormat="1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8" fillId="0" borderId="73" xfId="0" applyFont="1" applyBorder="1" applyAlignment="1">
      <alignment horizontal="left" vertical="center"/>
    </xf>
  </cellXfs>
  <cellStyles count="3">
    <cellStyle name="Énfasis3" xfId="2" builtinId="37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209551</xdr:rowOff>
    </xdr:from>
    <xdr:to>
      <xdr:col>2</xdr:col>
      <xdr:colOff>514350</xdr:colOff>
      <xdr:row>1</xdr:row>
      <xdr:rowOff>146322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551"/>
          <a:ext cx="1971675" cy="308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1181100</xdr:colOff>
          <xdr:row>13</xdr:row>
          <xdr:rowOff>66675</xdr:rowOff>
        </xdr:from>
        <xdr:to>
          <xdr:col>7</xdr:col>
          <xdr:colOff>1485900</xdr:colOff>
          <xdr:row>13</xdr:row>
          <xdr:rowOff>285750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16</xdr:row>
          <xdr:rowOff>85725</xdr:rowOff>
        </xdr:from>
        <xdr:to>
          <xdr:col>4</xdr:col>
          <xdr:colOff>276225</xdr:colOff>
          <xdr:row>16</xdr:row>
          <xdr:rowOff>304800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762000</xdr:colOff>
          <xdr:row>16</xdr:row>
          <xdr:rowOff>85725</xdr:rowOff>
        </xdr:from>
        <xdr:to>
          <xdr:col>7</xdr:col>
          <xdr:colOff>1066800</xdr:colOff>
          <xdr:row>16</xdr:row>
          <xdr:rowOff>304800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22</xdr:row>
          <xdr:rowOff>66675</xdr:rowOff>
        </xdr:from>
        <xdr:to>
          <xdr:col>2</xdr:col>
          <xdr:colOff>552450</xdr:colOff>
          <xdr:row>22</xdr:row>
          <xdr:rowOff>285750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514350</xdr:colOff>
          <xdr:row>22</xdr:row>
          <xdr:rowOff>57150</xdr:rowOff>
        </xdr:from>
        <xdr:to>
          <xdr:col>4</xdr:col>
          <xdr:colOff>819150</xdr:colOff>
          <xdr:row>22</xdr:row>
          <xdr:rowOff>276225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485775</xdr:colOff>
          <xdr:row>18</xdr:row>
          <xdr:rowOff>76200</xdr:rowOff>
        </xdr:from>
        <xdr:to>
          <xdr:col>3</xdr:col>
          <xdr:colOff>28575</xdr:colOff>
          <xdr:row>18</xdr:row>
          <xdr:rowOff>295275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476250</xdr:colOff>
          <xdr:row>19</xdr:row>
          <xdr:rowOff>76200</xdr:rowOff>
        </xdr:from>
        <xdr:to>
          <xdr:col>3</xdr:col>
          <xdr:colOff>19050</xdr:colOff>
          <xdr:row>19</xdr:row>
          <xdr:rowOff>295275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990600</xdr:colOff>
          <xdr:row>18</xdr:row>
          <xdr:rowOff>85725</xdr:rowOff>
        </xdr:from>
        <xdr:to>
          <xdr:col>4</xdr:col>
          <xdr:colOff>1295400</xdr:colOff>
          <xdr:row>18</xdr:row>
          <xdr:rowOff>304800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990600</xdr:colOff>
          <xdr:row>19</xdr:row>
          <xdr:rowOff>95250</xdr:rowOff>
        </xdr:from>
        <xdr:to>
          <xdr:col>4</xdr:col>
          <xdr:colOff>1295400</xdr:colOff>
          <xdr:row>19</xdr:row>
          <xdr:rowOff>314325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466725</xdr:colOff>
          <xdr:row>18</xdr:row>
          <xdr:rowOff>76200</xdr:rowOff>
        </xdr:from>
        <xdr:to>
          <xdr:col>6</xdr:col>
          <xdr:colOff>771525</xdr:colOff>
          <xdr:row>18</xdr:row>
          <xdr:rowOff>295275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466725</xdr:colOff>
          <xdr:row>19</xdr:row>
          <xdr:rowOff>85725</xdr:rowOff>
        </xdr:from>
        <xdr:to>
          <xdr:col>6</xdr:col>
          <xdr:colOff>771525</xdr:colOff>
          <xdr:row>19</xdr:row>
          <xdr:rowOff>304800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1571625</xdr:colOff>
          <xdr:row>18</xdr:row>
          <xdr:rowOff>76200</xdr:rowOff>
        </xdr:from>
        <xdr:to>
          <xdr:col>7</xdr:col>
          <xdr:colOff>1876425</xdr:colOff>
          <xdr:row>18</xdr:row>
          <xdr:rowOff>295275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1600200</xdr:colOff>
          <xdr:row>19</xdr:row>
          <xdr:rowOff>76200</xdr:rowOff>
        </xdr:from>
        <xdr:to>
          <xdr:col>7</xdr:col>
          <xdr:colOff>1905000</xdr:colOff>
          <xdr:row>19</xdr:row>
          <xdr:rowOff>295275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581025</xdr:colOff>
          <xdr:row>20</xdr:row>
          <xdr:rowOff>66675</xdr:rowOff>
        </xdr:from>
        <xdr:to>
          <xdr:col>7</xdr:col>
          <xdr:colOff>885825</xdr:colOff>
          <xdr:row>20</xdr:row>
          <xdr:rowOff>285750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581025</xdr:colOff>
          <xdr:row>21</xdr:row>
          <xdr:rowOff>85725</xdr:rowOff>
        </xdr:from>
        <xdr:to>
          <xdr:col>7</xdr:col>
          <xdr:colOff>885825</xdr:colOff>
          <xdr:row>21</xdr:row>
          <xdr:rowOff>304800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57150</xdr:rowOff>
        </xdr:from>
        <xdr:to>
          <xdr:col>2</xdr:col>
          <xdr:colOff>304800</xdr:colOff>
          <xdr:row>23</xdr:row>
          <xdr:rowOff>276225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23</xdr:row>
          <xdr:rowOff>66675</xdr:rowOff>
        </xdr:from>
        <xdr:to>
          <xdr:col>5</xdr:col>
          <xdr:colOff>0</xdr:colOff>
          <xdr:row>23</xdr:row>
          <xdr:rowOff>285750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1323975</xdr:colOff>
          <xdr:row>23</xdr:row>
          <xdr:rowOff>66675</xdr:rowOff>
        </xdr:from>
        <xdr:to>
          <xdr:col>7</xdr:col>
          <xdr:colOff>1628775</xdr:colOff>
          <xdr:row>23</xdr:row>
          <xdr:rowOff>285750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514350</xdr:colOff>
          <xdr:row>24</xdr:row>
          <xdr:rowOff>76200</xdr:rowOff>
        </xdr:from>
        <xdr:to>
          <xdr:col>3</xdr:col>
          <xdr:colOff>819150</xdr:colOff>
          <xdr:row>24</xdr:row>
          <xdr:rowOff>295275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1057275</xdr:colOff>
          <xdr:row>24</xdr:row>
          <xdr:rowOff>66675</xdr:rowOff>
        </xdr:from>
        <xdr:to>
          <xdr:col>5</xdr:col>
          <xdr:colOff>38100</xdr:colOff>
          <xdr:row>24</xdr:row>
          <xdr:rowOff>285750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2133600</xdr:colOff>
          <xdr:row>24</xdr:row>
          <xdr:rowOff>66675</xdr:rowOff>
        </xdr:from>
        <xdr:to>
          <xdr:col>7</xdr:col>
          <xdr:colOff>2438400</xdr:colOff>
          <xdr:row>24</xdr:row>
          <xdr:rowOff>285750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25</xdr:row>
          <xdr:rowOff>76200</xdr:rowOff>
        </xdr:from>
        <xdr:to>
          <xdr:col>7</xdr:col>
          <xdr:colOff>66675</xdr:colOff>
          <xdr:row>25</xdr:row>
          <xdr:rowOff>295275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904875</xdr:colOff>
          <xdr:row>25</xdr:row>
          <xdr:rowOff>76200</xdr:rowOff>
        </xdr:from>
        <xdr:to>
          <xdr:col>7</xdr:col>
          <xdr:colOff>1209675</xdr:colOff>
          <xdr:row>25</xdr:row>
          <xdr:rowOff>295275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13</xdr:row>
          <xdr:rowOff>66675</xdr:rowOff>
        </xdr:from>
        <xdr:to>
          <xdr:col>5</xdr:col>
          <xdr:colOff>609600</xdr:colOff>
          <xdr:row>13</xdr:row>
          <xdr:rowOff>285750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314325</xdr:colOff>
          <xdr:row>13</xdr:row>
          <xdr:rowOff>76200</xdr:rowOff>
        </xdr:from>
        <xdr:to>
          <xdr:col>2</xdr:col>
          <xdr:colOff>619125</xdr:colOff>
          <xdr:row>13</xdr:row>
          <xdr:rowOff>295275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180976</xdr:rowOff>
    </xdr:from>
    <xdr:ext cx="1971675" cy="30824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976"/>
          <a:ext cx="1971675" cy="30824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600075</xdr:colOff>
          <xdr:row>10</xdr:row>
          <xdr:rowOff>57150</xdr:rowOff>
        </xdr:from>
        <xdr:to>
          <xdr:col>4</xdr:col>
          <xdr:colOff>904875</xdr:colOff>
          <xdr:row>10</xdr:row>
          <xdr:rowOff>276225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1066800</xdr:colOff>
          <xdr:row>10</xdr:row>
          <xdr:rowOff>66675</xdr:rowOff>
        </xdr:from>
        <xdr:to>
          <xdr:col>7</xdr:col>
          <xdr:colOff>1371600</xdr:colOff>
          <xdr:row>10</xdr:row>
          <xdr:rowOff>285750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13</xdr:row>
          <xdr:rowOff>66675</xdr:rowOff>
        </xdr:from>
        <xdr:to>
          <xdr:col>7</xdr:col>
          <xdr:colOff>1076325</xdr:colOff>
          <xdr:row>13</xdr:row>
          <xdr:rowOff>276225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13</xdr:row>
          <xdr:rowOff>66675</xdr:rowOff>
        </xdr:from>
        <xdr:to>
          <xdr:col>7</xdr:col>
          <xdr:colOff>1438275</xdr:colOff>
          <xdr:row>13</xdr:row>
          <xdr:rowOff>276225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809625</xdr:colOff>
          <xdr:row>10</xdr:row>
          <xdr:rowOff>57150</xdr:rowOff>
        </xdr:from>
        <xdr:to>
          <xdr:col>6</xdr:col>
          <xdr:colOff>1114425</xdr:colOff>
          <xdr:row>10</xdr:row>
          <xdr:rowOff>276225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8.xml"/><Relationship Id="rId5" Type="http://schemas.openxmlformats.org/officeDocument/2006/relationships/ctrlProp" Target="../ctrlProps/ctrlProp27.xml"/><Relationship Id="rId4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tabSelected="1" topLeftCell="A4" zoomScaleNormal="100" workbookViewId="0">
      <selection activeCell="J3" sqref="J3"/>
    </sheetView>
  </sheetViews>
  <sheetFormatPr baseColWidth="10" defaultRowHeight="15" x14ac:dyDescent="0.25"/>
  <cols>
    <col min="1" max="1" width="13.85546875" customWidth="1"/>
    <col min="2" max="2" width="11.7109375" customWidth="1"/>
    <col min="4" max="4" width="13" customWidth="1"/>
    <col min="5" max="5" width="19.85546875" customWidth="1"/>
    <col min="6" max="6" width="14.42578125" customWidth="1"/>
    <col min="7" max="7" width="15" customWidth="1"/>
    <col min="8" max="8" width="37.5703125" customWidth="1"/>
  </cols>
  <sheetData>
    <row r="1" spans="1:10" ht="29.25" customHeight="1" x14ac:dyDescent="0.25">
      <c r="A1" s="129"/>
      <c r="B1" s="130"/>
      <c r="C1" s="131"/>
      <c r="D1" s="140" t="s">
        <v>58</v>
      </c>
      <c r="E1" s="141"/>
      <c r="F1" s="141"/>
      <c r="G1" s="142"/>
      <c r="H1" s="135" t="s">
        <v>99</v>
      </c>
    </row>
    <row r="2" spans="1:10" ht="29.25" customHeight="1" thickBot="1" x14ac:dyDescent="0.3">
      <c r="A2" s="132"/>
      <c r="B2" s="133"/>
      <c r="C2" s="134"/>
      <c r="D2" s="137" t="s">
        <v>59</v>
      </c>
      <c r="E2" s="138"/>
      <c r="F2" s="138"/>
      <c r="G2" s="139"/>
      <c r="H2" s="136"/>
    </row>
    <row r="3" spans="1:10" ht="29.25" customHeight="1" thickBot="1" x14ac:dyDescent="0.3">
      <c r="A3" s="25" t="s">
        <v>52</v>
      </c>
      <c r="B3" s="143"/>
      <c r="C3" s="144"/>
      <c r="D3" s="23"/>
      <c r="E3" s="23"/>
      <c r="F3" s="23"/>
      <c r="G3" s="23"/>
      <c r="H3" s="24"/>
      <c r="J3" s="28"/>
    </row>
    <row r="4" spans="1:10" ht="13.5" customHeight="1" x14ac:dyDescent="0.25">
      <c r="A4" s="125" t="s">
        <v>35</v>
      </c>
      <c r="B4" s="126"/>
      <c r="C4" s="126"/>
      <c r="D4" s="126"/>
      <c r="E4" s="126"/>
      <c r="F4" s="126"/>
      <c r="G4" s="126"/>
      <c r="H4" s="127"/>
    </row>
    <row r="5" spans="1:10" ht="20.25" customHeight="1" x14ac:dyDescent="0.25">
      <c r="A5" s="128"/>
      <c r="B5" s="126"/>
      <c r="C5" s="126"/>
      <c r="D5" s="126"/>
      <c r="E5" s="126"/>
      <c r="F5" s="126"/>
      <c r="G5" s="126"/>
      <c r="H5" s="127"/>
    </row>
    <row r="6" spans="1:10" ht="29.25" customHeight="1" x14ac:dyDescent="0.25">
      <c r="A6" s="5" t="s">
        <v>0</v>
      </c>
      <c r="B6" s="85"/>
      <c r="C6" s="148"/>
      <c r="D6" s="6" t="s">
        <v>1</v>
      </c>
      <c r="E6" s="146"/>
      <c r="F6" s="147"/>
      <c r="G6" s="6" t="s">
        <v>2</v>
      </c>
      <c r="H6" s="29"/>
    </row>
    <row r="7" spans="1:10" ht="29.25" customHeight="1" x14ac:dyDescent="0.25">
      <c r="A7" s="117" t="s">
        <v>3</v>
      </c>
      <c r="B7" s="118"/>
      <c r="C7" s="118"/>
      <c r="D7" s="118"/>
      <c r="E7" s="118"/>
      <c r="F7" s="118"/>
      <c r="G7" s="118"/>
      <c r="H7" s="119"/>
    </row>
    <row r="8" spans="1:10" ht="29.25" customHeight="1" thickBot="1" x14ac:dyDescent="0.3">
      <c r="A8" s="149" t="s">
        <v>4</v>
      </c>
      <c r="B8" s="150"/>
      <c r="C8" s="112"/>
      <c r="D8" s="151"/>
      <c r="E8" s="151"/>
      <c r="F8" s="113"/>
      <c r="G8" s="6" t="s">
        <v>5</v>
      </c>
      <c r="H8" s="32"/>
    </row>
    <row r="9" spans="1:10" ht="29.25" customHeight="1" thickBot="1" x14ac:dyDescent="0.3">
      <c r="A9" s="5" t="s">
        <v>6</v>
      </c>
      <c r="B9" s="112"/>
      <c r="C9" s="113"/>
      <c r="D9" s="1" t="s">
        <v>7</v>
      </c>
      <c r="E9" s="53"/>
      <c r="F9" s="2" t="s">
        <v>8</v>
      </c>
      <c r="G9" s="112"/>
      <c r="H9" s="114"/>
    </row>
    <row r="10" spans="1:10" ht="29.25" customHeight="1" x14ac:dyDescent="0.25">
      <c r="A10" s="5" t="s">
        <v>9</v>
      </c>
      <c r="B10" s="115"/>
      <c r="C10" s="116"/>
      <c r="D10" s="6" t="s">
        <v>10</v>
      </c>
      <c r="E10" s="112"/>
      <c r="F10" s="113"/>
      <c r="G10" s="2" t="s">
        <v>11</v>
      </c>
      <c r="H10" s="7"/>
    </row>
    <row r="11" spans="1:10" ht="29.25" customHeight="1" x14ac:dyDescent="0.25">
      <c r="A11" s="5" t="s">
        <v>12</v>
      </c>
      <c r="B11" s="115"/>
      <c r="C11" s="116"/>
      <c r="D11" s="6" t="s">
        <v>13</v>
      </c>
      <c r="E11" s="115"/>
      <c r="F11" s="116"/>
      <c r="G11" s="2" t="s">
        <v>14</v>
      </c>
      <c r="H11" s="7"/>
    </row>
    <row r="12" spans="1:10" ht="29.25" customHeight="1" x14ac:dyDescent="0.25">
      <c r="A12" s="117" t="s">
        <v>15</v>
      </c>
      <c r="B12" s="118"/>
      <c r="C12" s="118"/>
      <c r="D12" s="118"/>
      <c r="E12" s="118"/>
      <c r="F12" s="118"/>
      <c r="G12" s="118"/>
      <c r="H12" s="119"/>
    </row>
    <row r="13" spans="1:10" ht="29.25" customHeight="1" x14ac:dyDescent="0.25">
      <c r="A13" s="145" t="s">
        <v>16</v>
      </c>
      <c r="B13" s="120" t="s">
        <v>47</v>
      </c>
      <c r="C13" s="121"/>
      <c r="D13" s="122"/>
      <c r="E13" s="123" t="s">
        <v>63</v>
      </c>
      <c r="F13" s="123"/>
      <c r="G13" s="124"/>
      <c r="H13" s="51" t="s">
        <v>62</v>
      </c>
    </row>
    <row r="14" spans="1:10" ht="29.25" customHeight="1" x14ac:dyDescent="0.25">
      <c r="A14" s="59"/>
      <c r="B14" s="109"/>
      <c r="C14" s="110"/>
      <c r="D14" s="111"/>
      <c r="E14" s="110"/>
      <c r="F14" s="110"/>
      <c r="G14" s="111"/>
      <c r="H14" s="50"/>
    </row>
    <row r="15" spans="1:10" ht="36" customHeight="1" x14ac:dyDescent="0.25">
      <c r="A15" s="8" t="s">
        <v>17</v>
      </c>
      <c r="B15" s="106" t="s">
        <v>86</v>
      </c>
      <c r="C15" s="107"/>
      <c r="D15" s="107"/>
      <c r="E15" s="107"/>
      <c r="F15" s="107"/>
      <c r="G15" s="107"/>
      <c r="H15" s="108"/>
    </row>
    <row r="16" spans="1:10" ht="36" customHeight="1" x14ac:dyDescent="0.25">
      <c r="A16" s="46" t="s">
        <v>73</v>
      </c>
      <c r="B16" s="106" t="s">
        <v>87</v>
      </c>
      <c r="C16" s="107"/>
      <c r="D16" s="107"/>
      <c r="E16" s="107"/>
      <c r="F16" s="107"/>
      <c r="G16" s="107"/>
      <c r="H16" s="108"/>
    </row>
    <row r="17" spans="1:8" ht="29.25" customHeight="1" x14ac:dyDescent="0.25">
      <c r="A17" s="48" t="s">
        <v>36</v>
      </c>
      <c r="B17" s="58" t="s">
        <v>37</v>
      </c>
      <c r="C17" s="58"/>
      <c r="D17" s="58"/>
      <c r="E17" s="58"/>
      <c r="F17" s="58" t="s">
        <v>38</v>
      </c>
      <c r="G17" s="58"/>
      <c r="H17" s="65"/>
    </row>
    <row r="18" spans="1:8" ht="29.25" customHeight="1" x14ac:dyDescent="0.25">
      <c r="A18" s="82" t="s">
        <v>64</v>
      </c>
      <c r="B18" s="58" t="s">
        <v>39</v>
      </c>
      <c r="C18" s="58"/>
      <c r="D18" s="58" t="s">
        <v>22</v>
      </c>
      <c r="E18" s="58"/>
      <c r="F18" s="58" t="s">
        <v>23</v>
      </c>
      <c r="G18" s="58"/>
      <c r="H18" s="45" t="s">
        <v>24</v>
      </c>
    </row>
    <row r="19" spans="1:8" ht="29.25" customHeight="1" x14ac:dyDescent="0.25">
      <c r="A19" s="83"/>
      <c r="B19" s="66" t="s">
        <v>42</v>
      </c>
      <c r="C19" s="68"/>
      <c r="D19" s="66">
        <v>16</v>
      </c>
      <c r="E19" s="68"/>
      <c r="F19" s="66" t="s">
        <v>40</v>
      </c>
      <c r="G19" s="67"/>
      <c r="H19" s="47" t="s">
        <v>81</v>
      </c>
    </row>
    <row r="20" spans="1:8" ht="29.25" customHeight="1" x14ac:dyDescent="0.25">
      <c r="A20" s="83"/>
      <c r="B20" s="66" t="s">
        <v>41</v>
      </c>
      <c r="C20" s="68"/>
      <c r="D20" s="104" t="s">
        <v>48</v>
      </c>
      <c r="E20" s="105"/>
      <c r="F20" s="66" t="s">
        <v>40</v>
      </c>
      <c r="G20" s="67"/>
      <c r="H20" s="47" t="s">
        <v>81</v>
      </c>
    </row>
    <row r="21" spans="1:8" ht="29.25" customHeight="1" x14ac:dyDescent="0.25">
      <c r="A21" s="83"/>
      <c r="B21" s="85" t="s">
        <v>82</v>
      </c>
      <c r="C21" s="86"/>
      <c r="D21" s="86"/>
      <c r="E21" s="86"/>
      <c r="F21" s="86"/>
      <c r="G21" s="86"/>
      <c r="H21" s="87"/>
    </row>
    <row r="22" spans="1:8" ht="29.25" customHeight="1" x14ac:dyDescent="0.25">
      <c r="A22" s="84"/>
      <c r="B22" s="88" t="s">
        <v>55</v>
      </c>
      <c r="C22" s="89"/>
      <c r="D22" s="89"/>
      <c r="E22" s="89"/>
      <c r="F22" s="89"/>
      <c r="G22" s="89"/>
      <c r="H22" s="90"/>
    </row>
    <row r="23" spans="1:8" ht="29.25" customHeight="1" x14ac:dyDescent="0.25">
      <c r="A23" s="9" t="s">
        <v>18</v>
      </c>
      <c r="B23" s="6" t="s">
        <v>19</v>
      </c>
      <c r="C23" s="3"/>
      <c r="D23" s="6" t="s">
        <v>20</v>
      </c>
      <c r="E23" s="3"/>
      <c r="F23" s="6" t="s">
        <v>21</v>
      </c>
      <c r="G23" s="44" t="s">
        <v>88</v>
      </c>
      <c r="H23" s="43" t="s">
        <v>89</v>
      </c>
    </row>
    <row r="24" spans="1:8" ht="29.25" customHeight="1" x14ac:dyDescent="0.25">
      <c r="A24" s="59" t="s">
        <v>43</v>
      </c>
      <c r="B24" s="60"/>
      <c r="C24" s="61"/>
      <c r="D24" s="62" t="s">
        <v>44</v>
      </c>
      <c r="E24" s="60"/>
      <c r="F24" s="61"/>
      <c r="G24" s="63" t="s">
        <v>45</v>
      </c>
      <c r="H24" s="64"/>
    </row>
    <row r="25" spans="1:8" ht="29.25" customHeight="1" x14ac:dyDescent="0.25">
      <c r="A25" s="77" t="s">
        <v>60</v>
      </c>
      <c r="B25" s="78"/>
      <c r="C25" s="75" t="s">
        <v>79</v>
      </c>
      <c r="D25" s="76"/>
      <c r="E25" s="31" t="s">
        <v>49</v>
      </c>
      <c r="F25" s="91" t="s">
        <v>50</v>
      </c>
      <c r="G25" s="92"/>
      <c r="H25" s="93"/>
    </row>
    <row r="26" spans="1:8" ht="29.25" customHeight="1" x14ac:dyDescent="0.25">
      <c r="A26" s="97" t="s">
        <v>74</v>
      </c>
      <c r="B26" s="98"/>
      <c r="C26" s="99"/>
      <c r="D26" s="100"/>
      <c r="E26" s="52"/>
      <c r="F26" s="101" t="s">
        <v>83</v>
      </c>
      <c r="G26" s="102"/>
      <c r="H26" s="103"/>
    </row>
    <row r="27" spans="1:8" ht="29.25" customHeight="1" x14ac:dyDescent="0.25">
      <c r="A27" s="94" t="s">
        <v>61</v>
      </c>
      <c r="B27" s="95"/>
      <c r="C27" s="95"/>
      <c r="D27" s="95" t="s">
        <v>25</v>
      </c>
      <c r="E27" s="95"/>
      <c r="F27" s="95"/>
      <c r="G27" s="95" t="s">
        <v>26</v>
      </c>
      <c r="H27" s="96"/>
    </row>
    <row r="28" spans="1:8" ht="29.25" customHeight="1" x14ac:dyDescent="0.25">
      <c r="A28" s="79"/>
      <c r="B28" s="80"/>
      <c r="C28" s="80"/>
      <c r="D28" s="80"/>
      <c r="E28" s="80"/>
      <c r="F28" s="80"/>
      <c r="G28" s="80"/>
      <c r="H28" s="81"/>
    </row>
    <row r="29" spans="1:8" ht="29.25" customHeight="1" x14ac:dyDescent="0.25">
      <c r="A29" s="69" t="s">
        <v>84</v>
      </c>
      <c r="B29" s="70"/>
      <c r="C29" s="70"/>
      <c r="D29" s="70"/>
      <c r="E29" s="70"/>
      <c r="F29" s="70"/>
      <c r="G29" s="70"/>
      <c r="H29" s="71"/>
    </row>
    <row r="30" spans="1:8" ht="29.25" customHeight="1" x14ac:dyDescent="0.25">
      <c r="A30" s="69"/>
      <c r="B30" s="70"/>
      <c r="C30" s="70"/>
      <c r="D30" s="70"/>
      <c r="E30" s="70"/>
      <c r="F30" s="70"/>
      <c r="G30" s="70"/>
      <c r="H30" s="71"/>
    </row>
    <row r="31" spans="1:8" ht="18.75" customHeight="1" x14ac:dyDescent="0.25">
      <c r="A31" s="69"/>
      <c r="B31" s="70"/>
      <c r="C31" s="70"/>
      <c r="D31" s="70"/>
      <c r="E31" s="70"/>
      <c r="F31" s="70"/>
      <c r="G31" s="70"/>
      <c r="H31" s="71"/>
    </row>
    <row r="32" spans="1:8" ht="18.75" customHeight="1" x14ac:dyDescent="0.25">
      <c r="A32" s="69"/>
      <c r="B32" s="70"/>
      <c r="C32" s="70"/>
      <c r="D32" s="70"/>
      <c r="E32" s="70"/>
      <c r="F32" s="70"/>
      <c r="G32" s="70"/>
      <c r="H32" s="71"/>
    </row>
    <row r="33" spans="1:8" ht="18.75" customHeight="1" x14ac:dyDescent="0.25">
      <c r="A33" s="69"/>
      <c r="B33" s="70"/>
      <c r="C33" s="70"/>
      <c r="D33" s="70"/>
      <c r="E33" s="70"/>
      <c r="F33" s="70"/>
      <c r="G33" s="70"/>
      <c r="H33" s="71"/>
    </row>
    <row r="34" spans="1:8" ht="18.75" customHeight="1" thickBot="1" x14ac:dyDescent="0.3">
      <c r="A34" s="72"/>
      <c r="B34" s="73"/>
      <c r="C34" s="73"/>
      <c r="D34" s="73"/>
      <c r="E34" s="73"/>
      <c r="F34" s="73"/>
      <c r="G34" s="73"/>
      <c r="H34" s="74"/>
    </row>
    <row r="35" spans="1:8" ht="38.25" customHeight="1" thickBot="1" x14ac:dyDescent="0.35">
      <c r="A35" s="54" t="s">
        <v>57</v>
      </c>
      <c r="B35" s="55"/>
      <c r="C35" s="55"/>
      <c r="D35" s="56"/>
      <c r="E35" s="56"/>
      <c r="F35" s="56"/>
      <c r="G35" s="56"/>
      <c r="H35" s="57"/>
    </row>
    <row r="36" spans="1:8" ht="18.75" customHeight="1" x14ac:dyDescent="0.25"/>
    <row r="47" spans="1:8" ht="15" customHeight="1" x14ac:dyDescent="0.25"/>
  </sheetData>
  <mergeCells count="57">
    <mergeCell ref="B13:D13"/>
    <mergeCell ref="E13:G13"/>
    <mergeCell ref="A4:H5"/>
    <mergeCell ref="A1:C2"/>
    <mergeCell ref="H1:H2"/>
    <mergeCell ref="D2:G2"/>
    <mergeCell ref="D1:G1"/>
    <mergeCell ref="B3:C3"/>
    <mergeCell ref="A13:A14"/>
    <mergeCell ref="E6:F6"/>
    <mergeCell ref="B6:C6"/>
    <mergeCell ref="B10:C10"/>
    <mergeCell ref="E10:F10"/>
    <mergeCell ref="A7:H7"/>
    <mergeCell ref="A8:B8"/>
    <mergeCell ref="C8:F8"/>
    <mergeCell ref="B9:C9"/>
    <mergeCell ref="G9:H9"/>
    <mergeCell ref="B11:C11"/>
    <mergeCell ref="E11:F11"/>
    <mergeCell ref="A12:H12"/>
    <mergeCell ref="B15:H15"/>
    <mergeCell ref="B18:C18"/>
    <mergeCell ref="B16:H16"/>
    <mergeCell ref="B14:D14"/>
    <mergeCell ref="E14:G14"/>
    <mergeCell ref="A28:C28"/>
    <mergeCell ref="D28:F28"/>
    <mergeCell ref="G28:H28"/>
    <mergeCell ref="A18:A22"/>
    <mergeCell ref="B21:H21"/>
    <mergeCell ref="B22:H22"/>
    <mergeCell ref="F25:H25"/>
    <mergeCell ref="A27:C27"/>
    <mergeCell ref="D27:F27"/>
    <mergeCell ref="G27:H27"/>
    <mergeCell ref="A26:B26"/>
    <mergeCell ref="C26:D26"/>
    <mergeCell ref="F26:H26"/>
    <mergeCell ref="D19:E19"/>
    <mergeCell ref="D20:E20"/>
    <mergeCell ref="A35:C35"/>
    <mergeCell ref="D35:H35"/>
    <mergeCell ref="B17:E17"/>
    <mergeCell ref="A24:C24"/>
    <mergeCell ref="D24:F24"/>
    <mergeCell ref="G24:H24"/>
    <mergeCell ref="F17:H17"/>
    <mergeCell ref="D18:E18"/>
    <mergeCell ref="F18:G18"/>
    <mergeCell ref="F19:G19"/>
    <mergeCell ref="F20:G20"/>
    <mergeCell ref="B19:C19"/>
    <mergeCell ref="B20:C20"/>
    <mergeCell ref="A29:H34"/>
    <mergeCell ref="C25:D25"/>
    <mergeCell ref="A25:B25"/>
  </mergeCells>
  <pageMargins left="0" right="0" top="0" bottom="0" header="0.31496062992125984" footer="0"/>
  <pageSetup scale="75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7</xdr:col>
                    <xdr:colOff>1181100</xdr:colOff>
                    <xdr:row>13</xdr:row>
                    <xdr:rowOff>66675</xdr:rowOff>
                  </from>
                  <to>
                    <xdr:col>7</xdr:col>
                    <xdr:colOff>1485900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3</xdr:col>
                    <xdr:colOff>838200</xdr:colOff>
                    <xdr:row>16</xdr:row>
                    <xdr:rowOff>85725</xdr:rowOff>
                  </from>
                  <to>
                    <xdr:col>4</xdr:col>
                    <xdr:colOff>276225</xdr:colOff>
                    <xdr:row>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7</xdr:col>
                    <xdr:colOff>762000</xdr:colOff>
                    <xdr:row>16</xdr:row>
                    <xdr:rowOff>85725</xdr:rowOff>
                  </from>
                  <to>
                    <xdr:col>7</xdr:col>
                    <xdr:colOff>1066800</xdr:colOff>
                    <xdr:row>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2</xdr:col>
                    <xdr:colOff>247650</xdr:colOff>
                    <xdr:row>22</xdr:row>
                    <xdr:rowOff>66675</xdr:rowOff>
                  </from>
                  <to>
                    <xdr:col>2</xdr:col>
                    <xdr:colOff>552450</xdr:colOff>
                    <xdr:row>22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4</xdr:col>
                    <xdr:colOff>514350</xdr:colOff>
                    <xdr:row>22</xdr:row>
                    <xdr:rowOff>57150</xdr:rowOff>
                  </from>
                  <to>
                    <xdr:col>4</xdr:col>
                    <xdr:colOff>819150</xdr:colOff>
                    <xdr:row>22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2</xdr:col>
                    <xdr:colOff>485775</xdr:colOff>
                    <xdr:row>18</xdr:row>
                    <xdr:rowOff>76200</xdr:rowOff>
                  </from>
                  <to>
                    <xdr:col>3</xdr:col>
                    <xdr:colOff>28575</xdr:colOff>
                    <xdr:row>18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2</xdr:col>
                    <xdr:colOff>476250</xdr:colOff>
                    <xdr:row>19</xdr:row>
                    <xdr:rowOff>76200</xdr:rowOff>
                  </from>
                  <to>
                    <xdr:col>3</xdr:col>
                    <xdr:colOff>19050</xdr:colOff>
                    <xdr:row>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4</xdr:col>
                    <xdr:colOff>990600</xdr:colOff>
                    <xdr:row>18</xdr:row>
                    <xdr:rowOff>85725</xdr:rowOff>
                  </from>
                  <to>
                    <xdr:col>4</xdr:col>
                    <xdr:colOff>1295400</xdr:colOff>
                    <xdr:row>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4</xdr:col>
                    <xdr:colOff>990600</xdr:colOff>
                    <xdr:row>19</xdr:row>
                    <xdr:rowOff>95250</xdr:rowOff>
                  </from>
                  <to>
                    <xdr:col>4</xdr:col>
                    <xdr:colOff>1295400</xdr:colOff>
                    <xdr:row>19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Check Box 16">
              <controlPr defaultSize="0" autoFill="0" autoLine="0" autoPict="0">
                <anchor moveWithCells="1">
                  <from>
                    <xdr:col>6</xdr:col>
                    <xdr:colOff>466725</xdr:colOff>
                    <xdr:row>18</xdr:row>
                    <xdr:rowOff>76200</xdr:rowOff>
                  </from>
                  <to>
                    <xdr:col>6</xdr:col>
                    <xdr:colOff>771525</xdr:colOff>
                    <xdr:row>18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Check Box 17">
              <controlPr defaultSize="0" autoFill="0" autoLine="0" autoPict="0">
                <anchor moveWithCells="1">
                  <from>
                    <xdr:col>6</xdr:col>
                    <xdr:colOff>466725</xdr:colOff>
                    <xdr:row>19</xdr:row>
                    <xdr:rowOff>85725</xdr:rowOff>
                  </from>
                  <to>
                    <xdr:col>6</xdr:col>
                    <xdr:colOff>771525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5" name="Check Box 19">
              <controlPr defaultSize="0" autoFill="0" autoLine="0" autoPict="0">
                <anchor moveWithCells="1">
                  <from>
                    <xdr:col>7</xdr:col>
                    <xdr:colOff>1571625</xdr:colOff>
                    <xdr:row>18</xdr:row>
                    <xdr:rowOff>76200</xdr:rowOff>
                  </from>
                  <to>
                    <xdr:col>7</xdr:col>
                    <xdr:colOff>1876425</xdr:colOff>
                    <xdr:row>18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6" name="Check Box 20">
              <controlPr defaultSize="0" autoFill="0" autoLine="0" autoPict="0">
                <anchor moveWithCells="1">
                  <from>
                    <xdr:col>7</xdr:col>
                    <xdr:colOff>1600200</xdr:colOff>
                    <xdr:row>19</xdr:row>
                    <xdr:rowOff>76200</xdr:rowOff>
                  </from>
                  <to>
                    <xdr:col>7</xdr:col>
                    <xdr:colOff>1905000</xdr:colOff>
                    <xdr:row>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7" name="Check Box 21">
              <controlPr defaultSize="0" autoFill="0" autoLine="0" autoPict="0">
                <anchor moveWithCells="1">
                  <from>
                    <xdr:col>7</xdr:col>
                    <xdr:colOff>581025</xdr:colOff>
                    <xdr:row>20</xdr:row>
                    <xdr:rowOff>66675</xdr:rowOff>
                  </from>
                  <to>
                    <xdr:col>7</xdr:col>
                    <xdr:colOff>885825</xdr:colOff>
                    <xdr:row>20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Check Box 22">
              <controlPr defaultSize="0" autoFill="0" autoLine="0" autoPict="0">
                <anchor moveWithCells="1">
                  <from>
                    <xdr:col>7</xdr:col>
                    <xdr:colOff>581025</xdr:colOff>
                    <xdr:row>21</xdr:row>
                    <xdr:rowOff>85725</xdr:rowOff>
                  </from>
                  <to>
                    <xdr:col>7</xdr:col>
                    <xdr:colOff>885825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9" name="Check Box 24">
              <controlPr defaultSize="0" autoFill="0" autoLine="0" autoPict="0">
                <anchor moveWithCells="1">
                  <from>
                    <xdr:col>2</xdr:col>
                    <xdr:colOff>0</xdr:colOff>
                    <xdr:row>23</xdr:row>
                    <xdr:rowOff>57150</xdr:rowOff>
                  </from>
                  <to>
                    <xdr:col>2</xdr:col>
                    <xdr:colOff>304800</xdr:colOff>
                    <xdr:row>23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0" name="Check Box 25">
              <controlPr defaultSize="0" autoFill="0" autoLine="0" autoPict="0">
                <anchor moveWithCells="1">
                  <from>
                    <xdr:col>4</xdr:col>
                    <xdr:colOff>1019175</xdr:colOff>
                    <xdr:row>23</xdr:row>
                    <xdr:rowOff>66675</xdr:rowOff>
                  </from>
                  <to>
                    <xdr:col>5</xdr:col>
                    <xdr:colOff>0</xdr:colOff>
                    <xdr:row>23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" name="Check Box 26">
              <controlPr defaultSize="0" autoFill="0" autoLine="0" autoPict="0">
                <anchor moveWithCells="1">
                  <from>
                    <xdr:col>7</xdr:col>
                    <xdr:colOff>1323975</xdr:colOff>
                    <xdr:row>23</xdr:row>
                    <xdr:rowOff>66675</xdr:rowOff>
                  </from>
                  <to>
                    <xdr:col>7</xdr:col>
                    <xdr:colOff>1628775</xdr:colOff>
                    <xdr:row>23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2" name="Check Box 29">
              <controlPr defaultSize="0" autoFill="0" autoLine="0" autoPict="0">
                <anchor moveWithCells="1">
                  <from>
                    <xdr:col>3</xdr:col>
                    <xdr:colOff>514350</xdr:colOff>
                    <xdr:row>24</xdr:row>
                    <xdr:rowOff>76200</xdr:rowOff>
                  </from>
                  <to>
                    <xdr:col>3</xdr:col>
                    <xdr:colOff>819150</xdr:colOff>
                    <xdr:row>24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3" name="Check Box 30">
              <controlPr defaultSize="0" autoFill="0" autoLine="0" autoPict="0">
                <anchor moveWithCells="1">
                  <from>
                    <xdr:col>4</xdr:col>
                    <xdr:colOff>1057275</xdr:colOff>
                    <xdr:row>24</xdr:row>
                    <xdr:rowOff>66675</xdr:rowOff>
                  </from>
                  <to>
                    <xdr:col>5</xdr:col>
                    <xdr:colOff>38100</xdr:colOff>
                    <xdr:row>24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4" name="Check Box 31">
              <controlPr defaultSize="0" autoFill="0" autoLine="0" autoPict="0">
                <anchor moveWithCells="1">
                  <from>
                    <xdr:col>7</xdr:col>
                    <xdr:colOff>2133600</xdr:colOff>
                    <xdr:row>24</xdr:row>
                    <xdr:rowOff>66675</xdr:rowOff>
                  </from>
                  <to>
                    <xdr:col>7</xdr:col>
                    <xdr:colOff>2438400</xdr:colOff>
                    <xdr:row>24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5" name="Check Box 33">
              <controlPr defaultSize="0" autoFill="0" autoLine="0" autoPict="0">
                <anchor moveWithCells="1">
                  <from>
                    <xdr:col>6</xdr:col>
                    <xdr:colOff>762000</xdr:colOff>
                    <xdr:row>25</xdr:row>
                    <xdr:rowOff>76200</xdr:rowOff>
                  </from>
                  <to>
                    <xdr:col>7</xdr:col>
                    <xdr:colOff>66675</xdr:colOff>
                    <xdr:row>25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6" name="Check Box 34">
              <controlPr defaultSize="0" autoFill="0" autoLine="0" autoPict="0">
                <anchor moveWithCells="1">
                  <from>
                    <xdr:col>7</xdr:col>
                    <xdr:colOff>904875</xdr:colOff>
                    <xdr:row>25</xdr:row>
                    <xdr:rowOff>76200</xdr:rowOff>
                  </from>
                  <to>
                    <xdr:col>7</xdr:col>
                    <xdr:colOff>1209675</xdr:colOff>
                    <xdr:row>25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7" name="Check Box 35">
              <controlPr defaultSize="0" autoFill="0" autoLine="0" autoPict="0">
                <anchor moveWithCells="1">
                  <from>
                    <xdr:col>5</xdr:col>
                    <xdr:colOff>304800</xdr:colOff>
                    <xdr:row>13</xdr:row>
                    <xdr:rowOff>66675</xdr:rowOff>
                  </from>
                  <to>
                    <xdr:col>5</xdr:col>
                    <xdr:colOff>609600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8" name="Check Box 36">
              <controlPr defaultSize="0" autoFill="0" autoLine="0" autoPict="0">
                <anchor moveWithCells="1">
                  <from>
                    <xdr:col>2</xdr:col>
                    <xdr:colOff>314325</xdr:colOff>
                    <xdr:row>13</xdr:row>
                    <xdr:rowOff>76200</xdr:rowOff>
                  </from>
                  <to>
                    <xdr:col>2</xdr:col>
                    <xdr:colOff>619125</xdr:colOff>
                    <xdr:row>13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7"/>
  <sheetViews>
    <sheetView workbookViewId="0">
      <selection activeCell="B6" sqref="B6:C6"/>
    </sheetView>
  </sheetViews>
  <sheetFormatPr baseColWidth="10" defaultRowHeight="15" x14ac:dyDescent="0.25"/>
  <cols>
    <col min="2" max="2" width="14.28515625" customWidth="1"/>
    <col min="5" max="5" width="14.28515625" customWidth="1"/>
    <col min="6" max="6" width="13" customWidth="1"/>
    <col min="7" max="7" width="21.5703125" customWidth="1"/>
    <col min="8" max="8" width="22.5703125" customWidth="1"/>
  </cols>
  <sheetData>
    <row r="1" spans="1:8" ht="26.25" customHeight="1" x14ac:dyDescent="0.25">
      <c r="A1" s="129"/>
      <c r="B1" s="130"/>
      <c r="C1" s="131"/>
      <c r="D1" s="160" t="s">
        <v>58</v>
      </c>
      <c r="E1" s="161"/>
      <c r="F1" s="161"/>
      <c r="G1" s="162"/>
      <c r="H1" s="158" t="s">
        <v>85</v>
      </c>
    </row>
    <row r="2" spans="1:8" ht="26.25" customHeight="1" thickBot="1" x14ac:dyDescent="0.3">
      <c r="A2" s="132"/>
      <c r="B2" s="133"/>
      <c r="C2" s="134"/>
      <c r="D2" s="163" t="s">
        <v>59</v>
      </c>
      <c r="E2" s="164"/>
      <c r="F2" s="164"/>
      <c r="G2" s="165"/>
      <c r="H2" s="159"/>
    </row>
    <row r="3" spans="1:8" ht="26.25" customHeight="1" thickBot="1" x14ac:dyDescent="0.3">
      <c r="A3" s="170" t="s">
        <v>27</v>
      </c>
      <c r="B3" s="171"/>
      <c r="C3" s="172"/>
      <c r="D3" s="173"/>
      <c r="E3" s="21"/>
      <c r="F3" s="21"/>
      <c r="G3" s="21"/>
      <c r="H3" s="22"/>
    </row>
    <row r="4" spans="1:8" ht="26.25" customHeight="1" x14ac:dyDescent="0.25">
      <c r="A4" s="166" t="s">
        <v>51</v>
      </c>
      <c r="B4" s="167"/>
      <c r="C4" s="167"/>
      <c r="D4" s="167"/>
      <c r="E4" s="167"/>
      <c r="F4" s="167"/>
      <c r="G4" s="167"/>
      <c r="H4" s="168"/>
    </row>
    <row r="5" spans="1:8" ht="26.25" customHeight="1" x14ac:dyDescent="0.25">
      <c r="A5" s="169"/>
      <c r="B5" s="167"/>
      <c r="C5" s="167"/>
      <c r="D5" s="167"/>
      <c r="E5" s="167"/>
      <c r="F5" s="167"/>
      <c r="G5" s="167"/>
      <c r="H5" s="168"/>
    </row>
    <row r="6" spans="1:8" ht="26.25" customHeight="1" x14ac:dyDescent="0.25">
      <c r="A6" s="10" t="s">
        <v>0</v>
      </c>
      <c r="B6" s="85"/>
      <c r="C6" s="148"/>
      <c r="D6" s="11" t="s">
        <v>1</v>
      </c>
      <c r="E6" s="85"/>
      <c r="F6" s="148"/>
      <c r="G6" s="11" t="s">
        <v>2</v>
      </c>
      <c r="H6" s="27"/>
    </row>
    <row r="7" spans="1:8" ht="26.25" customHeight="1" x14ac:dyDescent="0.25">
      <c r="A7" s="117" t="s">
        <v>3</v>
      </c>
      <c r="B7" s="118"/>
      <c r="C7" s="118"/>
      <c r="D7" s="118"/>
      <c r="E7" s="118"/>
      <c r="F7" s="118"/>
      <c r="G7" s="118"/>
      <c r="H7" s="119"/>
    </row>
    <row r="8" spans="1:8" ht="26.25" customHeight="1" x14ac:dyDescent="0.3">
      <c r="A8" s="174" t="s">
        <v>4</v>
      </c>
      <c r="B8" s="175"/>
      <c r="C8" s="180"/>
      <c r="D8" s="181"/>
      <c r="E8" s="181"/>
      <c r="F8" s="181"/>
      <c r="G8" s="181"/>
      <c r="H8" s="182"/>
    </row>
    <row r="9" spans="1:8" ht="26.25" customHeight="1" x14ac:dyDescent="0.25">
      <c r="A9" s="117" t="s">
        <v>28</v>
      </c>
      <c r="B9" s="118"/>
      <c r="C9" s="118"/>
      <c r="D9" s="118"/>
      <c r="E9" s="118"/>
      <c r="F9" s="118"/>
      <c r="G9" s="118"/>
      <c r="H9" s="119"/>
    </row>
    <row r="10" spans="1:8" ht="26.25" customHeight="1" x14ac:dyDescent="0.25">
      <c r="A10" s="197" t="s">
        <v>30</v>
      </c>
      <c r="B10" s="198"/>
      <c r="C10" s="199"/>
      <c r="D10" s="200"/>
      <c r="E10" s="203" t="s">
        <v>91</v>
      </c>
      <c r="F10" s="204"/>
      <c r="G10" s="194" t="s">
        <v>92</v>
      </c>
      <c r="H10" s="196"/>
    </row>
    <row r="11" spans="1:8" ht="26.25" customHeight="1" x14ac:dyDescent="0.25">
      <c r="A11" s="176" t="s">
        <v>78</v>
      </c>
      <c r="B11" s="177"/>
      <c r="C11" s="201" t="s">
        <v>29</v>
      </c>
      <c r="D11" s="202"/>
      <c r="E11" s="178" t="s">
        <v>33</v>
      </c>
      <c r="F11" s="179"/>
      <c r="G11" s="18" t="s">
        <v>53</v>
      </c>
      <c r="H11" s="19" t="s">
        <v>54</v>
      </c>
    </row>
    <row r="12" spans="1:8" ht="26.25" customHeight="1" x14ac:dyDescent="0.25">
      <c r="A12" s="176" t="s">
        <v>98</v>
      </c>
      <c r="B12" s="177"/>
      <c r="C12" s="205" t="s">
        <v>29</v>
      </c>
      <c r="D12" s="206"/>
      <c r="E12" s="49" t="s">
        <v>67</v>
      </c>
      <c r="F12" s="194"/>
      <c r="G12" s="195"/>
      <c r="H12" s="196"/>
    </row>
    <row r="13" spans="1:8" ht="26.25" customHeight="1" x14ac:dyDescent="0.25">
      <c r="A13" s="174" t="s">
        <v>31</v>
      </c>
      <c r="B13" s="175"/>
      <c r="C13" s="222">
        <f>+C10</f>
        <v>0</v>
      </c>
      <c r="D13" s="223"/>
      <c r="E13" s="226" t="s">
        <v>68</v>
      </c>
      <c r="F13" s="226"/>
      <c r="G13" s="246"/>
      <c r="H13" s="247"/>
    </row>
    <row r="14" spans="1:8" ht="26.25" customHeight="1" thickBot="1" x14ac:dyDescent="0.3">
      <c r="A14" s="231" t="s">
        <v>32</v>
      </c>
      <c r="B14" s="67"/>
      <c r="C14" s="241">
        <f>+C13*10.5%</f>
        <v>0</v>
      </c>
      <c r="D14" s="242"/>
      <c r="E14" s="20" t="s">
        <v>56</v>
      </c>
      <c r="F14" s="20"/>
      <c r="G14" s="4"/>
      <c r="H14" s="12"/>
    </row>
    <row r="15" spans="1:8" ht="26.25" customHeight="1" thickBot="1" x14ac:dyDescent="0.3">
      <c r="A15" s="174" t="s">
        <v>46</v>
      </c>
      <c r="B15" s="175"/>
      <c r="C15" s="236">
        <f>+C13+C14</f>
        <v>0</v>
      </c>
      <c r="D15" s="237"/>
      <c r="E15" s="226" t="s">
        <v>69</v>
      </c>
      <c r="F15" s="226"/>
      <c r="G15" s="248"/>
      <c r="H15" s="249"/>
    </row>
    <row r="16" spans="1:8" ht="26.25" customHeight="1" x14ac:dyDescent="0.25">
      <c r="A16" s="232" t="s">
        <v>72</v>
      </c>
      <c r="B16" s="233"/>
      <c r="C16" s="234"/>
      <c r="D16" s="235"/>
      <c r="E16" s="243"/>
      <c r="F16" s="244"/>
      <c r="G16" s="244"/>
      <c r="H16" s="245"/>
    </row>
    <row r="17" spans="1:11" ht="26.25" customHeight="1" x14ac:dyDescent="0.25">
      <c r="A17" s="218" t="s">
        <v>93</v>
      </c>
      <c r="B17" s="219"/>
      <c r="C17" s="183"/>
      <c r="D17" s="184"/>
      <c r="E17" s="238"/>
      <c r="F17" s="239"/>
      <c r="G17" s="239"/>
      <c r="H17" s="240"/>
    </row>
    <row r="18" spans="1:11" ht="26.25" customHeight="1" x14ac:dyDescent="0.25">
      <c r="A18" s="218" t="s">
        <v>94</v>
      </c>
      <c r="B18" s="219"/>
      <c r="C18" s="201" t="s">
        <v>29</v>
      </c>
      <c r="D18" s="202"/>
      <c r="E18" s="227"/>
      <c r="F18" s="228"/>
      <c r="G18" s="228"/>
      <c r="H18" s="229"/>
    </row>
    <row r="19" spans="1:11" ht="26.25" customHeight="1" x14ac:dyDescent="0.25">
      <c r="A19" s="218" t="s">
        <v>95</v>
      </c>
      <c r="B19" s="219"/>
      <c r="C19" s="201" t="s">
        <v>29</v>
      </c>
      <c r="D19" s="202"/>
      <c r="E19" s="58" t="s">
        <v>34</v>
      </c>
      <c r="F19" s="58"/>
      <c r="G19" s="58"/>
      <c r="H19" s="45" t="s">
        <v>65</v>
      </c>
    </row>
    <row r="20" spans="1:11" ht="26.25" customHeight="1" x14ac:dyDescent="0.25">
      <c r="A20" s="218" t="s">
        <v>96</v>
      </c>
      <c r="B20" s="219"/>
      <c r="C20" s="224"/>
      <c r="D20" s="225"/>
      <c r="E20" s="226"/>
      <c r="F20" s="226"/>
      <c r="G20" s="226"/>
      <c r="H20" s="30"/>
    </row>
    <row r="21" spans="1:11" ht="26.25" customHeight="1" thickBot="1" x14ac:dyDescent="0.3">
      <c r="A21" s="218" t="s">
        <v>97</v>
      </c>
      <c r="B21" s="219"/>
      <c r="C21" s="183">
        <f>+(C17+C16+C15)*10%</f>
        <v>0</v>
      </c>
      <c r="D21" s="184"/>
      <c r="E21" s="230"/>
      <c r="F21" s="230"/>
      <c r="G21" s="230"/>
      <c r="H21" s="30"/>
    </row>
    <row r="22" spans="1:11" ht="26.25" customHeight="1" thickBot="1" x14ac:dyDescent="0.3">
      <c r="A22" s="185" t="s">
        <v>70</v>
      </c>
      <c r="B22" s="186"/>
      <c r="C22" s="187">
        <f>+C17+C16+C15+C21</f>
        <v>0</v>
      </c>
      <c r="D22" s="188"/>
      <c r="E22" s="156" t="s">
        <v>80</v>
      </c>
      <c r="F22" s="157"/>
      <c r="G22" s="41"/>
      <c r="H22" s="42"/>
      <c r="K22" t="s">
        <v>90</v>
      </c>
    </row>
    <row r="23" spans="1:11" ht="26.25" customHeight="1" thickBot="1" x14ac:dyDescent="0.3">
      <c r="A23" s="189" t="s">
        <v>71</v>
      </c>
      <c r="B23" s="190"/>
      <c r="C23" s="191"/>
      <c r="D23" s="192"/>
      <c r="E23" s="192"/>
      <c r="F23" s="192"/>
      <c r="G23" s="192"/>
      <c r="H23" s="193"/>
    </row>
    <row r="24" spans="1:11" ht="54.75" customHeight="1" thickBot="1" x14ac:dyDescent="0.3">
      <c r="A24" s="152"/>
      <c r="B24" s="153"/>
      <c r="C24" s="154"/>
      <c r="D24" s="154"/>
      <c r="E24" s="154"/>
      <c r="F24" s="154"/>
      <c r="G24" s="154"/>
      <c r="H24" s="155"/>
    </row>
    <row r="25" spans="1:11" ht="8.25" customHeight="1" x14ac:dyDescent="0.25">
      <c r="A25" s="13"/>
      <c r="H25" s="14"/>
    </row>
    <row r="26" spans="1:11" ht="26.25" customHeight="1" x14ac:dyDescent="0.25">
      <c r="A26" s="212" t="s">
        <v>75</v>
      </c>
      <c r="B26" s="213"/>
      <c r="C26" s="209"/>
      <c r="D26" s="209"/>
      <c r="E26" s="209"/>
      <c r="F26" s="209"/>
      <c r="G26" s="209"/>
      <c r="H26" s="210"/>
    </row>
    <row r="27" spans="1:11" ht="55.5" customHeight="1" x14ac:dyDescent="0.25">
      <c r="A27" s="211"/>
      <c r="B27" s="209"/>
      <c r="C27" s="209"/>
      <c r="D27" s="209"/>
      <c r="E27" s="209"/>
      <c r="F27" s="209"/>
      <c r="G27" s="209"/>
      <c r="H27" s="210"/>
    </row>
    <row r="28" spans="1:11" ht="26.25" customHeight="1" x14ac:dyDescent="0.25">
      <c r="A28" s="214" t="s">
        <v>76</v>
      </c>
      <c r="B28" s="215"/>
      <c r="C28" s="209"/>
      <c r="D28" s="209"/>
      <c r="E28" s="209"/>
      <c r="F28" s="209"/>
      <c r="G28" s="209"/>
      <c r="H28" s="210"/>
    </row>
    <row r="29" spans="1:11" ht="26.25" customHeight="1" x14ac:dyDescent="0.25">
      <c r="A29" s="216" t="s">
        <v>77</v>
      </c>
      <c r="B29" s="217"/>
      <c r="C29" s="209"/>
      <c r="D29" s="209"/>
      <c r="E29" s="209"/>
      <c r="F29" s="209"/>
      <c r="G29" s="209"/>
      <c r="H29" s="210"/>
    </row>
    <row r="30" spans="1:11" ht="16.5" customHeight="1" x14ac:dyDescent="0.25">
      <c r="A30" s="36"/>
      <c r="B30" s="35"/>
      <c r="C30" s="26"/>
      <c r="D30" s="26"/>
      <c r="E30" s="26"/>
      <c r="F30" s="26"/>
      <c r="G30" s="26"/>
      <c r="H30" s="33"/>
    </row>
    <row r="31" spans="1:11" ht="26.25" customHeight="1" thickBot="1" x14ac:dyDescent="0.35">
      <c r="A31" s="117" t="s">
        <v>57</v>
      </c>
      <c r="B31" s="118"/>
      <c r="C31" s="118"/>
      <c r="D31" s="220"/>
      <c r="E31" s="220"/>
      <c r="F31" s="220"/>
      <c r="G31" s="220"/>
      <c r="H31" s="221"/>
    </row>
    <row r="32" spans="1:11" ht="26.25" customHeight="1" x14ac:dyDescent="0.3">
      <c r="A32" s="37"/>
      <c r="B32" s="38"/>
      <c r="C32" s="38"/>
      <c r="D32" s="39"/>
      <c r="E32" s="39"/>
      <c r="F32" s="39"/>
      <c r="G32" s="39"/>
      <c r="H32" s="40"/>
    </row>
    <row r="33" spans="1:8" ht="26.25" customHeight="1" x14ac:dyDescent="0.25">
      <c r="A33" s="13"/>
      <c r="C33" s="34"/>
      <c r="D33" s="34"/>
      <c r="E33" s="34"/>
      <c r="F33" s="34"/>
      <c r="G33" s="34"/>
      <c r="H33" s="14"/>
    </row>
    <row r="34" spans="1:8" ht="26.25" customHeight="1" thickBot="1" x14ac:dyDescent="0.3">
      <c r="A34" s="15"/>
      <c r="B34" s="16"/>
      <c r="C34" s="207" t="s">
        <v>66</v>
      </c>
      <c r="D34" s="207"/>
      <c r="E34" s="207"/>
      <c r="F34" s="207"/>
      <c r="G34" s="207"/>
      <c r="H34" s="17"/>
    </row>
    <row r="35" spans="1:8" ht="7.5" customHeight="1" x14ac:dyDescent="0.25"/>
    <row r="36" spans="1:8" ht="26.25" customHeight="1" x14ac:dyDescent="0.25"/>
    <row r="37" spans="1:8" ht="26.25" customHeight="1" x14ac:dyDescent="0.25">
      <c r="A37" s="208"/>
      <c r="B37" s="208"/>
      <c r="C37" s="208"/>
      <c r="D37" s="208"/>
      <c r="E37" s="208"/>
      <c r="F37" s="208"/>
      <c r="G37" s="208"/>
      <c r="H37" s="208"/>
    </row>
  </sheetData>
  <mergeCells count="68">
    <mergeCell ref="E17:H17"/>
    <mergeCell ref="C14:D14"/>
    <mergeCell ref="E16:H16"/>
    <mergeCell ref="E13:F13"/>
    <mergeCell ref="G13:H13"/>
    <mergeCell ref="E15:F15"/>
    <mergeCell ref="G15:H15"/>
    <mergeCell ref="A16:B16"/>
    <mergeCell ref="C16:D16"/>
    <mergeCell ref="A17:B17"/>
    <mergeCell ref="C17:D17"/>
    <mergeCell ref="A15:B15"/>
    <mergeCell ref="C15:D15"/>
    <mergeCell ref="A19:B19"/>
    <mergeCell ref="C19:D19"/>
    <mergeCell ref="A13:B13"/>
    <mergeCell ref="A31:C31"/>
    <mergeCell ref="D31:H31"/>
    <mergeCell ref="C13:D13"/>
    <mergeCell ref="A20:B20"/>
    <mergeCell ref="C20:D20"/>
    <mergeCell ref="A18:B18"/>
    <mergeCell ref="C18:D18"/>
    <mergeCell ref="E20:G20"/>
    <mergeCell ref="E19:G19"/>
    <mergeCell ref="E18:H18"/>
    <mergeCell ref="E21:G21"/>
    <mergeCell ref="A21:B21"/>
    <mergeCell ref="A14:B14"/>
    <mergeCell ref="C34:G34"/>
    <mergeCell ref="A37:H37"/>
    <mergeCell ref="C26:H26"/>
    <mergeCell ref="A27:H27"/>
    <mergeCell ref="A26:B26"/>
    <mergeCell ref="A28:B28"/>
    <mergeCell ref="C28:H28"/>
    <mergeCell ref="A29:B29"/>
    <mergeCell ref="C29:H29"/>
    <mergeCell ref="F12:H12"/>
    <mergeCell ref="A9:H9"/>
    <mergeCell ref="A10:B10"/>
    <mergeCell ref="C10:D10"/>
    <mergeCell ref="A11:B11"/>
    <mergeCell ref="C11:D11"/>
    <mergeCell ref="E10:F10"/>
    <mergeCell ref="G10:H10"/>
    <mergeCell ref="C12:D12"/>
    <mergeCell ref="C21:D21"/>
    <mergeCell ref="A22:B22"/>
    <mergeCell ref="C22:D22"/>
    <mergeCell ref="A23:B23"/>
    <mergeCell ref="C23:H23"/>
    <mergeCell ref="A24:H24"/>
    <mergeCell ref="E22:F22"/>
    <mergeCell ref="H1:H2"/>
    <mergeCell ref="D1:G1"/>
    <mergeCell ref="D2:G2"/>
    <mergeCell ref="A4:H5"/>
    <mergeCell ref="A1:C2"/>
    <mergeCell ref="A3:B3"/>
    <mergeCell ref="C3:D3"/>
    <mergeCell ref="B6:C6"/>
    <mergeCell ref="E6:F6"/>
    <mergeCell ref="A7:H7"/>
    <mergeCell ref="A8:B8"/>
    <mergeCell ref="A12:B12"/>
    <mergeCell ref="E11:F11"/>
    <mergeCell ref="C8:H8"/>
  </mergeCells>
  <pageMargins left="0" right="0" top="0" bottom="0" header="0" footer="0"/>
  <pageSetup paperSize="9" scale="8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600075</xdr:colOff>
                    <xdr:row>10</xdr:row>
                    <xdr:rowOff>57150</xdr:rowOff>
                  </from>
                  <to>
                    <xdr:col>4</xdr:col>
                    <xdr:colOff>904875</xdr:colOff>
                    <xdr:row>10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7</xdr:col>
                    <xdr:colOff>1066800</xdr:colOff>
                    <xdr:row>10</xdr:row>
                    <xdr:rowOff>66675</xdr:rowOff>
                  </from>
                  <to>
                    <xdr:col>7</xdr:col>
                    <xdr:colOff>1371600</xdr:colOff>
                    <xdr:row>10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Fill="0" autoLine="0" autoPict="0">
                <anchor moveWithCells="1">
                  <from>
                    <xdr:col>7</xdr:col>
                    <xdr:colOff>457200</xdr:colOff>
                    <xdr:row>13</xdr:row>
                    <xdr:rowOff>66675</xdr:rowOff>
                  </from>
                  <to>
                    <xdr:col>7</xdr:col>
                    <xdr:colOff>1076325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Check Box 7">
              <controlPr defaultSize="0" autoFill="0" autoLine="0" autoPict="0">
                <anchor moveWithCells="1">
                  <from>
                    <xdr:col>7</xdr:col>
                    <xdr:colOff>819150</xdr:colOff>
                    <xdr:row>13</xdr:row>
                    <xdr:rowOff>66675</xdr:rowOff>
                  </from>
                  <to>
                    <xdr:col>7</xdr:col>
                    <xdr:colOff>1438275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8" name="Check Box 8">
              <controlPr defaultSize="0" autoFill="0" autoLine="0" autoPict="0">
                <anchor moveWithCells="1">
                  <from>
                    <xdr:col>6</xdr:col>
                    <xdr:colOff>809625</xdr:colOff>
                    <xdr:row>10</xdr:row>
                    <xdr:rowOff>57150</xdr:rowOff>
                  </from>
                  <to>
                    <xdr:col>6</xdr:col>
                    <xdr:colOff>1114425</xdr:colOff>
                    <xdr:row>10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Pedido de Venta</vt:lpstr>
      <vt:lpstr>Condiciones de Comercialización</vt:lpstr>
      <vt:lpstr>'Condiciones de Comercialización'!Área_de_impresión</vt:lpstr>
      <vt:lpstr>'Pedido de Venta'!Área_de_impresión</vt:lpstr>
      <vt:lpstr>'Pedido de Venta'!Area_Mixerr</vt:lpstr>
      <vt:lpstr>'Pedido de Venta'!Print_Area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Angel Di Marco</cp:lastModifiedBy>
  <cp:lastPrinted>2021-07-05T17:53:03Z</cp:lastPrinted>
  <dcterms:created xsi:type="dcterms:W3CDTF">2019-08-02T17:16:29Z</dcterms:created>
  <dcterms:modified xsi:type="dcterms:W3CDTF">2025-01-31T17:06:57Z</dcterms:modified>
</cp:coreProperties>
</file>